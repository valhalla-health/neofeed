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6f3cdd93d71e377/Desktop/PraewPP/Web App Projects/NeoFeed/neofeed/docs/"/>
    </mc:Choice>
  </mc:AlternateContent>
  <xr:revisionPtr revIDLastSave="56" documentId="11_2843D00F57B9527776DC5F5F9C32F812D986029D" xr6:coauthVersionLast="47" xr6:coauthVersionMax="47" xr10:uidLastSave="{161A8743-8656-48BF-872D-5E58A0EFCC62}"/>
  <bookViews>
    <workbookView xWindow="-98" yWindow="-98" windowWidth="19396" windowHeight="11475" activeTab="1" xr2:uid="{00000000-000D-0000-FFFF-FFFF00000000}"/>
  </bookViews>
  <sheets>
    <sheet name="README" sheetId="1" r:id="rId1"/>
    <sheet name="Validation Ranges" sheetId="2" r:id="rId2"/>
  </sheets>
  <definedNames>
    <definedName name="_xlnm._FilterDatabase" localSheetId="1" hidden="1">'Validation Ranges'!$A$1:$N$1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1" i="2" l="1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<sst xmlns="http://schemas.openxmlformats.org/spreadsheetml/2006/main" count="288" uniqueCount="182">
  <si>
    <t>NeoFeed — Server-Side Validation Range Worksheet</t>
  </si>
  <si>
    <t>Compiled 2026-08-25 · for Praew to review and set final ranges</t>
  </si>
  <si>
    <t>What this is</t>
  </si>
  <si>
    <t>Every numeric/categorical field in Patient_Registry and Daily_Log that doPost() can write, listed one row per field on the "Validation Ranges" tab. For each one: what it is, whether the server checks it today, a suggested plausibility range with its source, and two blank columns for you to enter the range you actually want.</t>
  </si>
  <si>
    <t>Why this exists</t>
  </si>
  <si>
    <t>On 2026-08-25 I added a first server-side guard (commit 0004d5c) to doPost — until then the only range checks were client-side &lt;input min/max&gt; in registry.jsx/calculator.jsx, and doPost is reachable directly (curl, a stale bundle, DevTools), so nothing stopped an out-of-range value reaching the sheet. That fix covered bw, ga, multiplesCount, and the core Daily_Log nutrition fields with ranges I chose myself. This worksheet is the fuller pass: it surfaces the fields I already guarded (so you can tighten/loosen my numbers) AND the fields I did not guard yet (weights[]/lengths[]/hcs[] via registerPatient, supplement totals, enum fields like sex/status, and date ordering) — those are marked "No" in the Validated? column.</t>
  </si>
  <si>
    <t>Plausibility bound, not clinical target — important distinction</t>
  </si>
  <si>
    <t>Every Suggested Min/Max here is a SANITY bound meant to catch typos, unit-slips, and garbage POSTs — not an ESPGHAN/WHO clinical target. A value can be outside the clinical target and still save (that is a clinical decision the UI's meters/tiles already flag); it only gets rejected if it is physically implausible for any NICU patient. Clinical targets stay exactly where they are today, in data.js (TPN_TARGETS / TARGETS) and calculator.jsx's meters — this worksheet does not touch those.</t>
  </si>
  <si>
    <t>How to use it</t>
  </si>
  <si>
    <t>1. Read the Suggested Min/Max and Source for each row.  2. Type your final choice into "Your Min" / "Your Max" (yellow cells) — leave blank to accept my suggestion as-is.  3. Set Decision from the dropdown.  4. Send the file back (or tell me the changes) and I will update gas-backend.gs to match, then re-run test/verify-input-validation.cjs before anything ships.</t>
  </si>
  <si>
    <t>Column legend</t>
  </si>
  <si>
    <t>Table — Patient_Registry or Daily_Log — which sheet/tab the field lives in.</t>
  </si>
  <si>
    <t>Field — Exact JSON/column key used in gas-backend.gs — grep this to find the code.</t>
  </si>
  <si>
    <t>Type — Range (numeric min/max) · Enum (fixed set of allowed values) · Chronology (date must come before/after another date) · Boolean (true/false, no range needed).</t>
  </si>
  <si>
    <t>Unit — As stored on the sheet — note weight/height fields are grams and centimeters, not kg/inches.</t>
  </si>
  <si>
    <t>Validated? — Yes = already enforced server-side as of commit 0004d5c · Partial = enforced on one write path but not another (see Notes) · No = not enforced yet, client-side only or nowhere.</t>
  </si>
  <si>
    <t>Suggested Min/Max — My proposal, grounded in ESPGHAN/WHO targets, the Fenton 2025 growth chart already embedded in data.js, or (where no guideline applies) a physiologic sanity bound — the source is named in the next column.</t>
  </si>
  <si>
    <t>Source — Where the suggested number came from. "Sanity bound (no clinical source)" means there's no guideline for it — I picked a number wide enough to never block a real patient but narrow enough to catch a typo.</t>
  </si>
  <si>
    <t>Your Min / Your Max — Blank yellow cells — your final answer. Leave blank to accept the suggestion.</t>
  </si>
  <si>
    <t>Decision — Dropdown: Accept suggested / Tightened / Loosened / Needs discussion / Not needed now.</t>
  </si>
  <si>
    <t>Check — Auto-flags if Your Min &gt; Your Max so a typo doesn't slip through.</t>
  </si>
  <si>
    <t>Notes — Caveats worth reading before you decide — flagged in bold where I think the suggestion needs your clinical judgement, not just a rubber stamp.</t>
  </si>
  <si>
    <t>Three rows worth reading before anything else</t>
  </si>
  <si>
    <t>GA at birth (row in Patient_Registry): I coded 22–44 in the 2026-08-25 fix, but fenton.jsx's own growth-chart clamp (GA_MAX) stops plotting at 42 weeks, and data.js flags the 44–50 wk rows as unverified/suspicious (every value a multiple of 10 — not what an LMS table produces). Worth deciding: keep 44 as an administrative buffer, or tighten to 22–42 to match what the chart actually trusts.</t>
  </si>
  <si>
    <t>weights[]/lengths[]/hcs[] via registerPatient: updateWeights() got a guard in the 2026-08-25 fix, but registerPatient() also writes p.weights/p.lengths/p.hcs directly (the initial growth point at registration) and that path is NOT guarded yet — same gap, second door.</t>
  </si>
  <si>
    <t>Supplement totals (suppVitD_IU / suppCa_mg / suppPO4_mmol / suppFe_mg): these are PER-KG doses multiplied by weight client-side before they reach the server, so a flat daily-total bound is an approximation, not a precise clinical check. Fine as a sanity net; if you want it exact, the server would need to validate the per-kg dose against weight instead — flagged as a possible future change, not done here.</t>
  </si>
  <si>
    <t>Table</t>
  </si>
  <si>
    <t>Field</t>
  </si>
  <si>
    <t>Type</t>
  </si>
  <si>
    <t>Unit</t>
  </si>
  <si>
    <t>What it represents</t>
  </si>
  <si>
    <t>Validated?</t>
  </si>
  <si>
    <t>Suggested Min</t>
  </si>
  <si>
    <t>Suggested Max</t>
  </si>
  <si>
    <t>Source / Guideline</t>
  </si>
  <si>
    <t>Your Min</t>
  </si>
  <si>
    <t>Your Max</t>
  </si>
  <si>
    <t>Decision</t>
  </si>
  <si>
    <t>Check</t>
  </si>
  <si>
    <t>Notes</t>
  </si>
  <si>
    <t>Patient_Registry</t>
  </si>
  <si>
    <t>bw</t>
  </si>
  <si>
    <t>Range</t>
  </si>
  <si>
    <t>grams</t>
  </si>
  <si>
    <t>Birth weight — drives weight-category (ELBW/VLBW/preterm/term) and the initial fluid/electrolyte table lookup.</t>
  </si>
  <si>
    <t>Yes</t>
  </si>
  <si>
    <t>Fenton 2025 growth chart (data.js): 3rd–97th %ile spans ~359–5240 g across GA 22–50 wk; rounded down/up for macrosomia and extreme-preterm outliers outside the charted band.</t>
  </si>
  <si>
    <t>Already coded (0004d5c). Weight-category thresholds (data.js) are at 1000/1500 g — this bound is wider than those on purpose, it's a sanity net not a category boundary.</t>
  </si>
  <si>
    <t>ga</t>
  </si>
  <si>
    <t>weeks</t>
  </si>
  <si>
    <t>Gestational age at birth — selects the Fenton percentile curve and the DOL-phase fluid/electrolyte tables.</t>
  </si>
  <si>
    <t>WHO/ACOG viability threshold ≈22 wk. Upper bound: see note — fenton.jsx clamps its OWN chart at GA_MAX=42; data.js flags the 44–50 wk rows as unverified (values are suspiciously round).</t>
  </si>
  <si>
    <t>READ THE README — this is the one number most worth your judgement call. 44 was chosen as an admin buffer above the clamp; 42 would match the chart exactly.</t>
  </si>
  <si>
    <t>multiplesCount</t>
  </si>
  <si>
    <t>count</t>
  </si>
  <si>
    <t>Number of siblings from a multiple birth (twin/triplet/etc.), used for the twin-suffix / registry grouping.</t>
  </si>
  <si>
    <t>Sanity bound (no clinical source) — highest-order multiples (sextuplets) are on record but vanishingly rare; 10 is deliberately generous.</t>
  </si>
  <si>
    <t>weights[].w (registerPatient)</t>
  </si>
  <si>
    <t>First growth-chart weight point, submitted at registration alongside bw.</t>
  </si>
  <si>
    <t>No</t>
  </si>
  <si>
    <t>Same Fenton span as bw, with headroom above the 42-wk 97th %ile (4643 g) for long-stay infants tracked past that PMA.</t>
  </si>
  <si>
    <t>GAP: updateWeights() is guarded; this second write path (inside registerPatient) is not. Same field, same fix needed.</t>
  </si>
  <si>
    <t>lengths[].l</t>
  </si>
  <si>
    <t>centimeters</t>
  </si>
  <si>
    <t>Length/height growth-chart point.</t>
  </si>
  <si>
    <t>Fenton 2025 length table (data.js): 3rd–97th %ile spans 23.8–62.1 cm across GA 22–50 wk.</t>
  </si>
  <si>
    <t>Not guarded anywhere yet — no updateLengths() exists; only reaches the sheet via registerPatient's p.lengths.</t>
  </si>
  <si>
    <t>hcs[].hc</t>
  </si>
  <si>
    <t>Head-circumference growth-chart point.</t>
  </si>
  <si>
    <t>Fenton 2025 HC table (data.js): 3rd–97th %ile spans ~17.5–41.6 cm across GA 22–50 wk; extra headroom on both ends for hydrocephalus/microcephaly cases that are real but outside the chart's percentile band.</t>
  </si>
  <si>
    <t>Not guarded anywhere yet — only reaches the sheet via registerPatient's p.hcs.</t>
  </si>
  <si>
    <t>sex</t>
  </si>
  <si>
    <t>Enum</t>
  </si>
  <si>
    <t>text</t>
  </si>
  <si>
    <t>boys / girls — selects which Fenton table (weight/length/HC) the growth chart reads from.</t>
  </si>
  <si>
    <t>boys, girls</t>
  </si>
  <si>
    <t>Internal — must match the exact keys FENTON_WEIGHT/LENGTH/HC use in data.js.</t>
  </si>
  <si>
    <t>Currently free text with a "boys" fallback. A typo here doesn't error, it silently plots the WRONG growth curve — arguably higher priority than some Range gaps above.</t>
  </si>
  <si>
    <t>status</t>
  </si>
  <si>
    <t>Active / Discharged / etc. — governs whether a patient shows in the active registry.</t>
  </si>
  <si>
    <t>Active, Discharged (confirm full list with app.jsx)</t>
  </si>
  <si>
    <t>Internal convention.</t>
  </si>
  <si>
    <t>Please confirm the complete allowed list before I code a whitelist — I only confirmed "Active" from the code I read.</t>
  </si>
  <si>
    <t>currentBed</t>
  </si>
  <si>
    <t>Bed/room label shown on the registry and dashboard.</t>
  </si>
  <si>
    <t>See BED_OPTIONS in data.js</t>
  </si>
  <si>
    <t>data.js already defines BED_OPTIONS and a normalizeBed() helper used client-side.</t>
  </si>
  <si>
    <t>Client-side normalizeBed() already collapses legacy spellings; doPost never re-checks against BED_OPTIONS, so a raw POST can still write any string.</t>
  </si>
  <si>
    <t>dob / admissionDate / statusDate</t>
  </si>
  <si>
    <t>Chronology</t>
  </si>
  <si>
    <t>date (YYYY-MM-DD)</t>
  </si>
  <si>
    <t>Date of birth, NICU admission date, and last status-change date.</t>
  </si>
  <si>
    <t>dob ≤ today; admissionDate ≥ dob; statusDate ≥ admissionDate</t>
  </si>
  <si>
    <t>Internal consistency, not a guideline.</t>
  </si>
  <si>
    <t>No ordering check today — a mis-typed admissionDate before dob would save silently and could distort DOL-derived calculations.</t>
  </si>
  <si>
    <t>Daily_Log</t>
  </si>
  <si>
    <t>dol</t>
  </si>
  <si>
    <t>days</t>
  </si>
  <si>
    <t>Day of life — selects which PN/EN phase (transition/intermediate/stable) target table applies.</t>
  </si>
  <si>
    <t>Sanity bound. Most NICU stays resolve well under 180 days; 400 leaves room for severe BPD / surgical NEC / short-gut long-stays.</t>
  </si>
  <si>
    <t>Already coded (0004d5c). Consider tightening to 1–200 if your unit's longest realistic stay is shorter than 400 days — ask the ward.</t>
  </si>
  <si>
    <t>weight</t>
  </si>
  <si>
    <t>Weight used for that day's per-kg TPN/EN calculation — same field as the growth-chart weight but entered per log entry.</t>
  </si>
  <si>
    <t>Same Fenton span as Patient_Registry.weights[].w.</t>
  </si>
  <si>
    <t>Already coded (0004d5c).</t>
  </si>
  <si>
    <t>fluid</t>
  </si>
  <si>
    <t>mL/kg/day</t>
  </si>
  <si>
    <t>Total fluid intake per kg per day.</t>
  </si>
  <si>
    <t>ESPGHAN 2018 PN fluid table tops out at 180 (targets.js pn.fluidRange, ELBW stable phase); ESPGHAN 2022 EN fluid target max 180 (targets.js en.fluid.max). UI meter shows up to 210.</t>
  </si>
  <si>
    <t>Already coded (0004d5c). 300 is a wide buffer above both guideline ceilings for fluid-loaded rescue scenarios (e.g. large blood-product volumes).</t>
  </si>
  <si>
    <t>gir</t>
  </si>
  <si>
    <t>mg/kg/min</t>
  </si>
  <si>
    <t>Glucose infusion rate.</t>
  </si>
  <si>
    <t>ESPGHAN 2018 PN GIR max target 12 (targets.js pn.gir.max); UI meter shows up to 16.</t>
  </si>
  <si>
    <t>pro</t>
  </si>
  <si>
    <t>g/kg/day</t>
  </si>
  <si>
    <t>Protein (amino acid) delivery.</t>
  </si>
  <si>
    <t>ESPGHAN 2018 AA guideline notes &gt;3.5 g/kg/day is "research only" (targets.js pn.aa); UI meter shows up to 5.5.</t>
  </si>
  <si>
    <t>kcal</t>
  </si>
  <si>
    <t>kcal/kg/day</t>
  </si>
  <si>
    <t>Total energy delivery.</t>
  </si>
  <si>
    <t>ESPGHAN 2022 EN energy target max 160 (targets.js en.energy.max); UI meter/tile shows up to 160–200.</t>
  </si>
  <si>
    <t>na</t>
  </si>
  <si>
    <t>mEq/kg/day</t>
  </si>
  <si>
    <t>Sodium delivery.</t>
  </si>
  <si>
    <t>ESPGHAN 2018 PN Na stable-phase max 7 mEq/kg/day in ELBW (targets.js pn.electrolytes.na); EN Na "high" flag at 8 (targets.js en.na.high). UI meter shows up to 7.</t>
  </si>
  <si>
    <t>Already coded (0004d5c). Wide buffer for Na-wasting ELBW/BPD infants who occasionally need more than the stable-phase ceiling.</t>
  </si>
  <si>
    <t>k</t>
  </si>
  <si>
    <t>Potassium delivery.</t>
  </si>
  <si>
    <t>ESPGHAN 2018 PN K stable-phase max 3 mEq/kg/day (targets.js pn.electrolytes.k). UI meter shows up to 4.</t>
  </si>
  <si>
    <t>ca</t>
  </si>
  <si>
    <t>mg/kg/day</t>
  </si>
  <si>
    <t>Calcium delivery.</t>
  </si>
  <si>
    <t>ESPGHAN 2022 EN Ca target max ≈200 mg/kg/day (targets.js en.ca_mmol.max=5.0 mmol). UI meter (total Ca) shows up to 220 mg.</t>
  </si>
  <si>
    <t>p</t>
  </si>
  <si>
    <t>Phosphorus delivery.</t>
  </si>
  <si>
    <t>ESPGHAN 2022 EN P target max ≈115 mg/kg/day (targets.js en.p_mmol.max=3.7 mmol). UI meter (total P) shows up to 130 mg.</t>
  </si>
  <si>
    <t>enVolPerKg</t>
  </si>
  <si>
    <t>Enteral feed volume.</t>
  </si>
  <si>
    <t>ESPGHAN 2022 EN fluid target max 180 (targets.js en.fluid.max). UI meter/tile shows up to 210.</t>
  </si>
  <si>
    <t>ioInput</t>
  </si>
  <si>
    <t>mL/day (absolute, not per-kg)</t>
  </si>
  <si>
    <t>Intake/Output card — total fluid input for the day.</t>
  </si>
  <si>
    <t>Sanity bound, no guideline — a flat cap sized for the largest realistic infant (~6 kg) at a high per-kg fluid rate plus meds/flushes.</t>
  </si>
  <si>
    <t>Already coded (0004d5c). This is a FLAT bound, not scaled by patient weight — a true per-kg check would need the day's weight as a second input; flag if you want that precision.</t>
  </si>
  <si>
    <t>ioOutput</t>
  </si>
  <si>
    <t>mL/day (absolute)</t>
  </si>
  <si>
    <t>Intake/Output card — total measured output (urine etc.) for the day.</t>
  </si>
  <si>
    <t>Sanity bound, same reasoning as ioInput.</t>
  </si>
  <si>
    <t>drainContent</t>
  </si>
  <si>
    <t>Intake/Output card — drain output netted out of the Balance figure (see gas-backend.gs critical-bug-history note: Balance uses gross Output, not net).</t>
  </si>
  <si>
    <t>suppVitD_IU</t>
  </si>
  <si>
    <t>IU/day (total, weight-multiplied)</t>
  </si>
  <si>
    <t>Vitamin D supplement — client sends suppVitD (IU/kg) × weight, pre-multiplied.</t>
  </si>
  <si>
    <t>ESPGHAN 2022 EN vitamin D target max 700 IU/kg/day (targets.js en.vitD.max) × ~8 kg headroom weight.</t>
  </si>
  <si>
    <t>Not guarded yet. Flat total, not a true per-kg check — see README note on supplement totals.</t>
  </si>
  <si>
    <t>suppCa_mg</t>
  </si>
  <si>
    <t>mg/day (total)</t>
  </si>
  <si>
    <t>Oral/enteral calcium supplement, weight-multiplied.</t>
  </si>
  <si>
    <t>ESPGHAN 2022 EN Ca target max ≈200 mg/kg/day (targets.js en.ca_mmol.max) × ~8 kg headroom weight.</t>
  </si>
  <si>
    <t>Not guarded yet.</t>
  </si>
  <si>
    <t>suppPO4_mmol</t>
  </si>
  <si>
    <t>mmol/day (total)</t>
  </si>
  <si>
    <t>Oral/enteral phosphate supplement, weight-multiplied.</t>
  </si>
  <si>
    <t>ESPGHAN 2022 EN P target max 3.7 mmol/kg/day (targets.js en.p_mmol.max) × ~8 kg headroom weight.</t>
  </si>
  <si>
    <t>suppFe_mg</t>
  </si>
  <si>
    <t>Oral iron supplement, weight-multiplied.</t>
  </si>
  <si>
    <t>ESPGHAN 2022 EN Fe upper flag 6.0 mg/kg/day (targets.js en.fe.max2) × ~8 kg headroom weight.</t>
  </si>
  <si>
    <t>suppMTV</t>
  </si>
  <si>
    <t>Boolean</t>
  </si>
  <si>
    <t>0/1</t>
  </si>
  <si>
    <t>Multivitamin drop given (yes/no) — not a dosed quantity.</t>
  </si>
  <si>
    <t>N/A</t>
  </si>
  <si>
    <t>N/A — boolean, no range applies.</t>
  </si>
  <si>
    <t>Nothing to validate beyond "is it 0 or 1", which _numSafe already coerces.</t>
  </si>
  <si>
    <t>route / status / suppCaType / suppPO4Type / suppFeType</t>
  </si>
  <si>
    <t>Feed route (oral/OG/NG etc.), entry status, and supplement product-type keys.</t>
  </si>
  <si>
    <t>See UI dropdowns in calculator.jsx for the exact allowed sets</t>
  </si>
  <si>
    <t>Internal conventions defined by the UI's own &lt;select&gt; options.</t>
  </si>
  <si>
    <t>Lower priority than the numeric gaps — a stray value here affects display/labeling, not a dose calculation.</t>
  </si>
  <si>
    <t>check today</t>
  </si>
  <si>
    <t>recheck every 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</si>
</sst>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95959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0B4"/>
      </patternFill>
    </fill>
    <fill>
      <patternFill patternType="solid">
        <fgColor rgb="FFDCE6F1"/>
      </patternFill>
    </fill>
    <fill>
      <patternFill patternType="solid">
        <fgColor rgb="FFFFFF99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5" borderId="1" xfId="0" applyFill="1" applyBorder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showGridLines="0" workbookViewId="0"/>
  </sheetViews>
  <sheetFormatPr defaultRowHeight="14.25" x14ac:dyDescent="0.45"/>
  <cols>
    <col min="1" max="1" width="100" customWidth="1"/>
  </cols>
  <sheetData>
    <row r="1" spans="1:1" ht="20.65" x14ac:dyDescent="0.6">
      <c r="A1" s="1" t="s">
        <v>0</v>
      </c>
    </row>
    <row r="2" spans="1:1" x14ac:dyDescent="0.45">
      <c r="A2" s="2" t="s">
        <v>1</v>
      </c>
    </row>
    <row r="4" spans="1:1" ht="15" customHeight="1" x14ac:dyDescent="0.45">
      <c r="A4" s="3" t="s">
        <v>2</v>
      </c>
    </row>
    <row r="5" spans="1:1" ht="56" customHeight="1" x14ac:dyDescent="0.45">
      <c r="A5" s="4" t="s">
        <v>3</v>
      </c>
    </row>
    <row r="7" spans="1:1" ht="15" customHeight="1" x14ac:dyDescent="0.45">
      <c r="A7" s="3" t="s">
        <v>4</v>
      </c>
    </row>
    <row r="8" spans="1:1" ht="112.05" customHeight="1" x14ac:dyDescent="0.45">
      <c r="A8" s="4" t="s">
        <v>5</v>
      </c>
    </row>
    <row r="10" spans="1:1" ht="15" customHeight="1" x14ac:dyDescent="0.45">
      <c r="A10" s="3" t="s">
        <v>6</v>
      </c>
    </row>
    <row r="11" spans="1:1" ht="84" customHeight="1" x14ac:dyDescent="0.45">
      <c r="A11" s="4" t="s">
        <v>7</v>
      </c>
    </row>
    <row r="13" spans="1:1" ht="15" customHeight="1" x14ac:dyDescent="0.45">
      <c r="A13" s="3" t="s">
        <v>8</v>
      </c>
    </row>
    <row r="14" spans="1:1" ht="56" customHeight="1" x14ac:dyDescent="0.45">
      <c r="A14" s="4" t="s">
        <v>9</v>
      </c>
    </row>
    <row r="16" spans="1:1" ht="15" customHeight="1" x14ac:dyDescent="0.45">
      <c r="A16" s="3" t="s">
        <v>10</v>
      </c>
    </row>
    <row r="17" spans="1:1" ht="28.05" customHeight="1" x14ac:dyDescent="0.45">
      <c r="A17" s="4" t="s">
        <v>11</v>
      </c>
    </row>
    <row r="18" spans="1:1" ht="28.05" customHeight="1" x14ac:dyDescent="0.45">
      <c r="A18" s="4" t="s">
        <v>12</v>
      </c>
    </row>
    <row r="19" spans="1:1" ht="28.05" customHeight="1" x14ac:dyDescent="0.45">
      <c r="A19" s="4" t="s">
        <v>13</v>
      </c>
    </row>
    <row r="20" spans="1:1" ht="28.05" customHeight="1" x14ac:dyDescent="0.45">
      <c r="A20" s="4" t="s">
        <v>14</v>
      </c>
    </row>
    <row r="21" spans="1:1" ht="28.05" customHeight="1" x14ac:dyDescent="0.45">
      <c r="A21" s="4" t="s">
        <v>15</v>
      </c>
    </row>
    <row r="22" spans="1:1" ht="28.05" customHeight="1" x14ac:dyDescent="0.45">
      <c r="A22" s="4" t="s">
        <v>16</v>
      </c>
    </row>
    <row r="23" spans="1:1" ht="28.05" customHeight="1" x14ac:dyDescent="0.45">
      <c r="A23" s="4" t="s">
        <v>17</v>
      </c>
    </row>
    <row r="24" spans="1:1" ht="28.05" customHeight="1" x14ac:dyDescent="0.45">
      <c r="A24" s="4" t="s">
        <v>18</v>
      </c>
    </row>
    <row r="25" spans="1:1" ht="28.05" customHeight="1" x14ac:dyDescent="0.45">
      <c r="A25" s="4" t="s">
        <v>19</v>
      </c>
    </row>
    <row r="26" spans="1:1" ht="28.05" customHeight="1" x14ac:dyDescent="0.45">
      <c r="A26" s="4" t="s">
        <v>20</v>
      </c>
    </row>
    <row r="27" spans="1:1" ht="28.05" customHeight="1" x14ac:dyDescent="0.45">
      <c r="A27" s="4" t="s">
        <v>21</v>
      </c>
    </row>
    <row r="29" spans="1:1" ht="15" customHeight="1" x14ac:dyDescent="0.45">
      <c r="A29" s="3" t="s">
        <v>22</v>
      </c>
    </row>
    <row r="30" spans="1:1" ht="70.05" customHeight="1" x14ac:dyDescent="0.45">
      <c r="A30" s="4" t="s">
        <v>23</v>
      </c>
    </row>
    <row r="31" spans="1:1" ht="42" customHeight="1" x14ac:dyDescent="0.45">
      <c r="A31" s="4" t="s">
        <v>24</v>
      </c>
    </row>
    <row r="32" spans="1:1" ht="70.05" customHeight="1" x14ac:dyDescent="0.45">
      <c r="A32" s="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tabSelected="1" topLeftCell="F1" workbookViewId="0">
      <pane ySplit="1" topLeftCell="A2" activePane="bottomLeft" state="frozen"/>
      <selection pane="bottomLeft" activeCell="L31" sqref="L31"/>
    </sheetView>
  </sheetViews>
  <sheetFormatPr defaultRowHeight="14.25" x14ac:dyDescent="0.45"/>
  <cols>
    <col min="1" max="1" width="15" customWidth="1"/>
    <col min="2" max="2" width="16" customWidth="1"/>
    <col min="3" max="3" width="11" customWidth="1"/>
    <col min="4" max="4" width="12" customWidth="1"/>
    <col min="5" max="5" width="34" customWidth="1"/>
    <col min="6" max="6" width="10" customWidth="1"/>
    <col min="7" max="8" width="12" customWidth="1"/>
    <col min="9" max="9" width="30" customWidth="1"/>
    <col min="10" max="11" width="10" customWidth="1"/>
    <col min="12" max="12" width="18" customWidth="1"/>
    <col min="13" max="13" width="10" customWidth="1"/>
    <col min="14" max="14" width="42" customWidth="1"/>
  </cols>
  <sheetData>
    <row r="1" spans="1:14" ht="30" customHeight="1" x14ac:dyDescent="0.4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</row>
    <row r="2" spans="1:14" ht="46.05" customHeight="1" x14ac:dyDescent="0.45">
      <c r="A2" s="6" t="s">
        <v>40</v>
      </c>
      <c r="B2" s="7" t="s">
        <v>41</v>
      </c>
      <c r="C2" s="6" t="s">
        <v>42</v>
      </c>
      <c r="D2" s="6" t="s">
        <v>43</v>
      </c>
      <c r="E2" s="8" t="s">
        <v>44</v>
      </c>
      <c r="F2" s="9" t="s">
        <v>45</v>
      </c>
      <c r="G2" s="10">
        <v>300</v>
      </c>
      <c r="H2" s="10">
        <v>6000</v>
      </c>
      <c r="I2" s="8" t="s">
        <v>46</v>
      </c>
      <c r="J2" s="11">
        <v>300</v>
      </c>
      <c r="K2" s="11">
        <v>6000</v>
      </c>
      <c r="L2" s="11"/>
      <c r="M2" s="12" t="str">
        <f t="shared" ref="M2:M31" si="0">IF(AND(C2="Range",ISNUMBER(J2),ISNUMBER(K2),J2&gt;K2),"⚠ Min&gt;Max","")</f>
        <v/>
      </c>
      <c r="N2" s="8" t="s">
        <v>47</v>
      </c>
    </row>
    <row r="3" spans="1:14" ht="46.05" customHeight="1" x14ac:dyDescent="0.45">
      <c r="A3" s="6" t="s">
        <v>40</v>
      </c>
      <c r="B3" s="7" t="s">
        <v>48</v>
      </c>
      <c r="C3" s="6" t="s">
        <v>42</v>
      </c>
      <c r="D3" s="6" t="s">
        <v>49</v>
      </c>
      <c r="E3" s="8" t="s">
        <v>50</v>
      </c>
      <c r="F3" s="9" t="s">
        <v>45</v>
      </c>
      <c r="G3" s="10">
        <v>22</v>
      </c>
      <c r="H3" s="10">
        <v>44</v>
      </c>
      <c r="I3" s="8" t="s">
        <v>51</v>
      </c>
      <c r="J3" s="11">
        <v>22</v>
      </c>
      <c r="K3" s="11">
        <v>44</v>
      </c>
      <c r="L3" s="11"/>
      <c r="M3" s="12" t="str">
        <f t="shared" si="0"/>
        <v/>
      </c>
      <c r="N3" s="8" t="s">
        <v>52</v>
      </c>
    </row>
    <row r="4" spans="1:14" ht="46.05" customHeight="1" x14ac:dyDescent="0.45">
      <c r="A4" s="6" t="s">
        <v>40</v>
      </c>
      <c r="B4" s="7" t="s">
        <v>53</v>
      </c>
      <c r="C4" s="6" t="s">
        <v>42</v>
      </c>
      <c r="D4" s="6" t="s">
        <v>54</v>
      </c>
      <c r="E4" s="8" t="s">
        <v>55</v>
      </c>
      <c r="F4" s="9" t="s">
        <v>45</v>
      </c>
      <c r="G4" s="10">
        <v>0</v>
      </c>
      <c r="H4" s="10">
        <v>10</v>
      </c>
      <c r="I4" s="8" t="s">
        <v>56</v>
      </c>
      <c r="J4" s="11">
        <v>0</v>
      </c>
      <c r="K4" s="11">
        <v>4</v>
      </c>
      <c r="L4" s="11"/>
      <c r="M4" s="12" t="str">
        <f t="shared" si="0"/>
        <v/>
      </c>
      <c r="N4" s="13"/>
    </row>
    <row r="5" spans="1:14" ht="46.05" customHeight="1" x14ac:dyDescent="0.45">
      <c r="A5" s="6" t="s">
        <v>40</v>
      </c>
      <c r="B5" s="7" t="s">
        <v>57</v>
      </c>
      <c r="C5" s="6" t="s">
        <v>42</v>
      </c>
      <c r="D5" s="6" t="s">
        <v>43</v>
      </c>
      <c r="E5" s="8" t="s">
        <v>58</v>
      </c>
      <c r="F5" s="14" t="s">
        <v>59</v>
      </c>
      <c r="G5" s="10">
        <v>300</v>
      </c>
      <c r="H5" s="10">
        <v>8000</v>
      </c>
      <c r="I5" s="8" t="s">
        <v>60</v>
      </c>
      <c r="J5" s="11">
        <v>300</v>
      </c>
      <c r="K5" s="11">
        <v>6000</v>
      </c>
      <c r="L5" s="11"/>
      <c r="M5" s="12" t="str">
        <f t="shared" si="0"/>
        <v/>
      </c>
      <c r="N5" s="8" t="s">
        <v>61</v>
      </c>
    </row>
    <row r="6" spans="1:14" ht="46.05" customHeight="1" x14ac:dyDescent="0.45">
      <c r="A6" s="6" t="s">
        <v>40</v>
      </c>
      <c r="B6" s="7" t="s">
        <v>62</v>
      </c>
      <c r="C6" s="6" t="s">
        <v>42</v>
      </c>
      <c r="D6" s="6" t="s">
        <v>63</v>
      </c>
      <c r="E6" s="8" t="s">
        <v>64</v>
      </c>
      <c r="F6" s="14" t="s">
        <v>59</v>
      </c>
      <c r="G6" s="10">
        <v>20</v>
      </c>
      <c r="H6" s="10">
        <v>68</v>
      </c>
      <c r="I6" s="8" t="s">
        <v>65</v>
      </c>
      <c r="J6" s="11">
        <v>22</v>
      </c>
      <c r="K6" s="11">
        <v>68</v>
      </c>
      <c r="L6" s="11"/>
      <c r="M6" s="12" t="str">
        <f t="shared" si="0"/>
        <v/>
      </c>
      <c r="N6" s="8" t="s">
        <v>66</v>
      </c>
    </row>
    <row r="7" spans="1:14" ht="46.05" customHeight="1" x14ac:dyDescent="0.45">
      <c r="A7" s="6" t="s">
        <v>40</v>
      </c>
      <c r="B7" s="7" t="s">
        <v>67</v>
      </c>
      <c r="C7" s="6" t="s">
        <v>42</v>
      </c>
      <c r="D7" s="6" t="s">
        <v>63</v>
      </c>
      <c r="E7" s="8" t="s">
        <v>68</v>
      </c>
      <c r="F7" s="14" t="s">
        <v>59</v>
      </c>
      <c r="G7" s="10">
        <v>13</v>
      </c>
      <c r="H7" s="10">
        <v>46</v>
      </c>
      <c r="I7" s="8" t="s">
        <v>69</v>
      </c>
      <c r="J7" s="11">
        <v>13</v>
      </c>
      <c r="K7" s="11">
        <v>46</v>
      </c>
      <c r="L7" s="11"/>
      <c r="M7" s="12" t="str">
        <f t="shared" si="0"/>
        <v/>
      </c>
      <c r="N7" s="8" t="s">
        <v>70</v>
      </c>
    </row>
    <row r="8" spans="1:14" ht="46.05" customHeight="1" x14ac:dyDescent="0.45">
      <c r="A8" s="6" t="s">
        <v>40</v>
      </c>
      <c r="B8" s="7" t="s">
        <v>71</v>
      </c>
      <c r="C8" s="6" t="s">
        <v>72</v>
      </c>
      <c r="D8" s="6" t="s">
        <v>73</v>
      </c>
      <c r="E8" s="8" t="s">
        <v>74</v>
      </c>
      <c r="F8" s="14" t="s">
        <v>59</v>
      </c>
      <c r="G8" s="10" t="s">
        <v>75</v>
      </c>
      <c r="H8" s="10"/>
      <c r="I8" s="8" t="s">
        <v>76</v>
      </c>
      <c r="J8" s="11"/>
      <c r="K8" s="11"/>
      <c r="L8" s="11" t="s">
        <v>75</v>
      </c>
      <c r="M8" s="12" t="str">
        <f t="shared" si="0"/>
        <v/>
      </c>
      <c r="N8" s="8" t="s">
        <v>77</v>
      </c>
    </row>
    <row r="9" spans="1:14" ht="46.05" customHeight="1" x14ac:dyDescent="0.45">
      <c r="A9" s="6" t="s">
        <v>40</v>
      </c>
      <c r="B9" s="7" t="s">
        <v>78</v>
      </c>
      <c r="C9" s="6" t="s">
        <v>72</v>
      </c>
      <c r="D9" s="6" t="s">
        <v>73</v>
      </c>
      <c r="E9" s="8" t="s">
        <v>79</v>
      </c>
      <c r="F9" s="14" t="s">
        <v>59</v>
      </c>
      <c r="G9" s="10" t="s">
        <v>80</v>
      </c>
      <c r="H9" s="10"/>
      <c r="I9" s="8" t="s">
        <v>81</v>
      </c>
      <c r="J9" s="11"/>
      <c r="K9" s="11"/>
      <c r="L9" s="11" t="s">
        <v>181</v>
      </c>
      <c r="M9" s="12" t="str">
        <f t="shared" si="0"/>
        <v/>
      </c>
      <c r="N9" s="8" t="s">
        <v>82</v>
      </c>
    </row>
    <row r="10" spans="1:14" ht="46.05" customHeight="1" x14ac:dyDescent="0.45">
      <c r="A10" s="6" t="s">
        <v>40</v>
      </c>
      <c r="B10" s="7" t="s">
        <v>83</v>
      </c>
      <c r="C10" s="6" t="s">
        <v>72</v>
      </c>
      <c r="D10" s="6" t="s">
        <v>73</v>
      </c>
      <c r="E10" s="8" t="s">
        <v>84</v>
      </c>
      <c r="F10" s="14" t="s">
        <v>59</v>
      </c>
      <c r="G10" s="10" t="s">
        <v>85</v>
      </c>
      <c r="H10" s="10"/>
      <c r="I10" s="8" t="s">
        <v>86</v>
      </c>
      <c r="J10" s="11"/>
      <c r="K10" s="11"/>
      <c r="L10" s="11" t="s">
        <v>181</v>
      </c>
      <c r="M10" s="12" t="str">
        <f t="shared" si="0"/>
        <v/>
      </c>
      <c r="N10" s="8" t="s">
        <v>87</v>
      </c>
    </row>
    <row r="11" spans="1:14" ht="46.05" customHeight="1" x14ac:dyDescent="0.45">
      <c r="A11" s="6" t="s">
        <v>40</v>
      </c>
      <c r="B11" s="7" t="s">
        <v>88</v>
      </c>
      <c r="C11" s="6" t="s">
        <v>89</v>
      </c>
      <c r="D11" s="6" t="s">
        <v>90</v>
      </c>
      <c r="E11" s="8" t="s">
        <v>91</v>
      </c>
      <c r="F11" s="14" t="s">
        <v>59</v>
      </c>
      <c r="G11" s="10" t="s">
        <v>92</v>
      </c>
      <c r="H11" s="10"/>
      <c r="I11" s="8" t="s">
        <v>93</v>
      </c>
      <c r="J11" s="11"/>
      <c r="K11" s="11"/>
      <c r="L11" s="11" t="s">
        <v>180</v>
      </c>
      <c r="M11" s="12" t="str">
        <f t="shared" si="0"/>
        <v/>
      </c>
      <c r="N11" s="8" t="s">
        <v>94</v>
      </c>
    </row>
    <row r="12" spans="1:14" ht="46.05" customHeight="1" x14ac:dyDescent="0.45">
      <c r="A12" s="6" t="s">
        <v>95</v>
      </c>
      <c r="B12" s="7" t="s">
        <v>96</v>
      </c>
      <c r="C12" s="6" t="s">
        <v>42</v>
      </c>
      <c r="D12" s="6" t="s">
        <v>97</v>
      </c>
      <c r="E12" s="8" t="s">
        <v>98</v>
      </c>
      <c r="F12" s="9" t="s">
        <v>45</v>
      </c>
      <c r="G12" s="10">
        <v>1</v>
      </c>
      <c r="H12" s="10">
        <v>400</v>
      </c>
      <c r="I12" s="8" t="s">
        <v>99</v>
      </c>
      <c r="J12" s="11">
        <v>1</v>
      </c>
      <c r="K12" s="11">
        <v>400</v>
      </c>
      <c r="L12" s="11"/>
      <c r="M12" s="12" t="str">
        <f t="shared" si="0"/>
        <v/>
      </c>
      <c r="N12" s="8" t="s">
        <v>100</v>
      </c>
    </row>
    <row r="13" spans="1:14" ht="46.05" customHeight="1" x14ac:dyDescent="0.45">
      <c r="A13" s="6" t="s">
        <v>95</v>
      </c>
      <c r="B13" s="7" t="s">
        <v>101</v>
      </c>
      <c r="C13" s="6" t="s">
        <v>42</v>
      </c>
      <c r="D13" s="6" t="s">
        <v>43</v>
      </c>
      <c r="E13" s="8" t="s">
        <v>102</v>
      </c>
      <c r="F13" s="9" t="s">
        <v>45</v>
      </c>
      <c r="G13" s="10">
        <v>300</v>
      </c>
      <c r="H13" s="10">
        <v>8000</v>
      </c>
      <c r="I13" s="8" t="s">
        <v>103</v>
      </c>
      <c r="J13" s="11">
        <v>300</v>
      </c>
      <c r="K13" s="11">
        <v>8000</v>
      </c>
      <c r="L13" s="11"/>
      <c r="M13" s="12" t="str">
        <f t="shared" si="0"/>
        <v/>
      </c>
      <c r="N13" s="8" t="s">
        <v>104</v>
      </c>
    </row>
    <row r="14" spans="1:14" ht="46.05" customHeight="1" x14ac:dyDescent="0.45">
      <c r="A14" s="6" t="s">
        <v>95</v>
      </c>
      <c r="B14" s="7" t="s">
        <v>105</v>
      </c>
      <c r="C14" s="6" t="s">
        <v>42</v>
      </c>
      <c r="D14" s="6" t="s">
        <v>106</v>
      </c>
      <c r="E14" s="8" t="s">
        <v>107</v>
      </c>
      <c r="F14" s="9" t="s">
        <v>45</v>
      </c>
      <c r="G14" s="10">
        <v>0</v>
      </c>
      <c r="H14" s="10">
        <v>300</v>
      </c>
      <c r="I14" s="8" t="s">
        <v>108</v>
      </c>
      <c r="J14" s="11">
        <v>40</v>
      </c>
      <c r="K14" s="11">
        <v>300</v>
      </c>
      <c r="L14" s="11"/>
      <c r="M14" s="12" t="str">
        <f t="shared" si="0"/>
        <v/>
      </c>
      <c r="N14" s="8" t="s">
        <v>109</v>
      </c>
    </row>
    <row r="15" spans="1:14" ht="46.05" customHeight="1" x14ac:dyDescent="0.45">
      <c r="A15" s="6" t="s">
        <v>95</v>
      </c>
      <c r="B15" s="7" t="s">
        <v>110</v>
      </c>
      <c r="C15" s="6" t="s">
        <v>42</v>
      </c>
      <c r="D15" s="6" t="s">
        <v>111</v>
      </c>
      <c r="E15" s="8" t="s">
        <v>112</v>
      </c>
      <c r="F15" s="9" t="s">
        <v>45</v>
      </c>
      <c r="G15" s="10">
        <v>0</v>
      </c>
      <c r="H15" s="10">
        <v>20</v>
      </c>
      <c r="I15" s="8" t="s">
        <v>113</v>
      </c>
      <c r="J15" s="11">
        <v>0</v>
      </c>
      <c r="K15" s="11">
        <v>20</v>
      </c>
      <c r="L15" s="11"/>
      <c r="M15" s="12" t="str">
        <f t="shared" si="0"/>
        <v/>
      </c>
      <c r="N15" s="8" t="s">
        <v>104</v>
      </c>
    </row>
    <row r="16" spans="1:14" ht="46.05" customHeight="1" x14ac:dyDescent="0.45">
      <c r="A16" s="6" t="s">
        <v>95</v>
      </c>
      <c r="B16" s="7" t="s">
        <v>114</v>
      </c>
      <c r="C16" s="6" t="s">
        <v>42</v>
      </c>
      <c r="D16" s="6" t="s">
        <v>115</v>
      </c>
      <c r="E16" s="8" t="s">
        <v>116</v>
      </c>
      <c r="F16" s="9" t="s">
        <v>45</v>
      </c>
      <c r="G16" s="10">
        <v>0</v>
      </c>
      <c r="H16" s="10">
        <v>8</v>
      </c>
      <c r="I16" s="8" t="s">
        <v>117</v>
      </c>
      <c r="J16" s="11">
        <v>0</v>
      </c>
      <c r="K16" s="11">
        <v>4</v>
      </c>
      <c r="L16" s="11"/>
      <c r="M16" s="12" t="str">
        <f t="shared" si="0"/>
        <v/>
      </c>
      <c r="N16" s="8" t="s">
        <v>104</v>
      </c>
    </row>
    <row r="17" spans="1:14" ht="46.05" customHeight="1" x14ac:dyDescent="0.45">
      <c r="A17" s="6" t="s">
        <v>95</v>
      </c>
      <c r="B17" s="7" t="s">
        <v>118</v>
      </c>
      <c r="C17" s="6" t="s">
        <v>42</v>
      </c>
      <c r="D17" s="6" t="s">
        <v>119</v>
      </c>
      <c r="E17" s="8" t="s">
        <v>120</v>
      </c>
      <c r="F17" s="9" t="s">
        <v>45</v>
      </c>
      <c r="G17" s="10">
        <v>0</v>
      </c>
      <c r="H17" s="10">
        <v>200</v>
      </c>
      <c r="I17" s="8" t="s">
        <v>121</v>
      </c>
      <c r="J17" s="11">
        <v>40</v>
      </c>
      <c r="K17" s="11">
        <v>200</v>
      </c>
      <c r="L17" s="11"/>
      <c r="M17" s="12" t="str">
        <f t="shared" si="0"/>
        <v/>
      </c>
      <c r="N17" s="8" t="s">
        <v>104</v>
      </c>
    </row>
    <row r="18" spans="1:14" ht="46.05" customHeight="1" x14ac:dyDescent="0.45">
      <c r="A18" s="6" t="s">
        <v>95</v>
      </c>
      <c r="B18" s="7" t="s">
        <v>122</v>
      </c>
      <c r="C18" s="6" t="s">
        <v>42</v>
      </c>
      <c r="D18" s="6" t="s">
        <v>123</v>
      </c>
      <c r="E18" s="8" t="s">
        <v>124</v>
      </c>
      <c r="F18" s="9" t="s">
        <v>45</v>
      </c>
      <c r="G18" s="10">
        <v>0</v>
      </c>
      <c r="H18" s="10">
        <v>15</v>
      </c>
      <c r="I18" s="8" t="s">
        <v>125</v>
      </c>
      <c r="J18" s="11">
        <v>0</v>
      </c>
      <c r="K18" s="11">
        <v>15</v>
      </c>
      <c r="L18" s="11"/>
      <c r="M18" s="12" t="str">
        <f t="shared" si="0"/>
        <v/>
      </c>
      <c r="N18" s="8" t="s">
        <v>126</v>
      </c>
    </row>
    <row r="19" spans="1:14" ht="46.05" customHeight="1" x14ac:dyDescent="0.45">
      <c r="A19" s="6" t="s">
        <v>95</v>
      </c>
      <c r="B19" s="7" t="s">
        <v>127</v>
      </c>
      <c r="C19" s="6" t="s">
        <v>42</v>
      </c>
      <c r="D19" s="6" t="s">
        <v>123</v>
      </c>
      <c r="E19" s="8" t="s">
        <v>128</v>
      </c>
      <c r="F19" s="9" t="s">
        <v>45</v>
      </c>
      <c r="G19" s="10">
        <v>0</v>
      </c>
      <c r="H19" s="10">
        <v>10</v>
      </c>
      <c r="I19" s="8" t="s">
        <v>129</v>
      </c>
      <c r="J19" s="11">
        <v>0</v>
      </c>
      <c r="K19" s="11">
        <v>6</v>
      </c>
      <c r="L19" s="11"/>
      <c r="M19" s="12" t="str">
        <f t="shared" si="0"/>
        <v/>
      </c>
      <c r="N19" s="8" t="s">
        <v>104</v>
      </c>
    </row>
    <row r="20" spans="1:14" ht="46.05" customHeight="1" x14ac:dyDescent="0.45">
      <c r="A20" s="6" t="s">
        <v>95</v>
      </c>
      <c r="B20" s="7" t="s">
        <v>130</v>
      </c>
      <c r="C20" s="6" t="s">
        <v>42</v>
      </c>
      <c r="D20" s="6" t="s">
        <v>131</v>
      </c>
      <c r="E20" s="8" t="s">
        <v>132</v>
      </c>
      <c r="F20" s="9" t="s">
        <v>45</v>
      </c>
      <c r="G20" s="10">
        <v>0</v>
      </c>
      <c r="H20" s="10">
        <v>300</v>
      </c>
      <c r="I20" s="8" t="s">
        <v>133</v>
      </c>
      <c r="J20" s="11">
        <v>0</v>
      </c>
      <c r="K20" s="11">
        <v>300</v>
      </c>
      <c r="L20" s="11"/>
      <c r="M20" s="12" t="str">
        <f t="shared" si="0"/>
        <v/>
      </c>
      <c r="N20" s="8" t="s">
        <v>104</v>
      </c>
    </row>
    <row r="21" spans="1:14" ht="46.05" customHeight="1" x14ac:dyDescent="0.45">
      <c r="A21" s="6" t="s">
        <v>95</v>
      </c>
      <c r="B21" s="7" t="s">
        <v>134</v>
      </c>
      <c r="C21" s="6" t="s">
        <v>42</v>
      </c>
      <c r="D21" s="6" t="s">
        <v>131</v>
      </c>
      <c r="E21" s="8" t="s">
        <v>135</v>
      </c>
      <c r="F21" s="9" t="s">
        <v>45</v>
      </c>
      <c r="G21" s="10">
        <v>0</v>
      </c>
      <c r="H21" s="10">
        <v>200</v>
      </c>
      <c r="I21" s="8" t="s">
        <v>136</v>
      </c>
      <c r="J21" s="11">
        <v>0</v>
      </c>
      <c r="K21" s="11">
        <v>200</v>
      </c>
      <c r="L21" s="11"/>
      <c r="M21" s="12" t="str">
        <f t="shared" si="0"/>
        <v/>
      </c>
      <c r="N21" s="8" t="s">
        <v>104</v>
      </c>
    </row>
    <row r="22" spans="1:14" ht="46.05" customHeight="1" x14ac:dyDescent="0.45">
      <c r="A22" s="6" t="s">
        <v>95</v>
      </c>
      <c r="B22" s="7" t="s">
        <v>137</v>
      </c>
      <c r="C22" s="6" t="s">
        <v>42</v>
      </c>
      <c r="D22" s="6" t="s">
        <v>106</v>
      </c>
      <c r="E22" s="8" t="s">
        <v>138</v>
      </c>
      <c r="F22" s="9" t="s">
        <v>45</v>
      </c>
      <c r="G22" s="10">
        <v>0</v>
      </c>
      <c r="H22" s="10">
        <v>250</v>
      </c>
      <c r="I22" s="8" t="s">
        <v>139</v>
      </c>
      <c r="J22" s="11">
        <v>0</v>
      </c>
      <c r="K22" s="11">
        <v>180</v>
      </c>
      <c r="L22" s="11"/>
      <c r="M22" s="12" t="str">
        <f t="shared" si="0"/>
        <v/>
      </c>
      <c r="N22" s="8" t="s">
        <v>104</v>
      </c>
    </row>
    <row r="23" spans="1:14" ht="46.05" customHeight="1" x14ac:dyDescent="0.45">
      <c r="A23" s="6" t="s">
        <v>95</v>
      </c>
      <c r="B23" s="7" t="s">
        <v>140</v>
      </c>
      <c r="C23" s="6" t="s">
        <v>42</v>
      </c>
      <c r="D23" s="6" t="s">
        <v>141</v>
      </c>
      <c r="E23" s="8" t="s">
        <v>142</v>
      </c>
      <c r="F23" s="9" t="s">
        <v>45</v>
      </c>
      <c r="G23" s="10">
        <v>0</v>
      </c>
      <c r="H23" s="10">
        <v>3000</v>
      </c>
      <c r="I23" s="8" t="s">
        <v>143</v>
      </c>
      <c r="J23" s="11">
        <v>0</v>
      </c>
      <c r="K23" s="11">
        <v>3000</v>
      </c>
      <c r="L23" s="11"/>
      <c r="M23" s="12" t="str">
        <f t="shared" si="0"/>
        <v/>
      </c>
      <c r="N23" s="8" t="s">
        <v>144</v>
      </c>
    </row>
    <row r="24" spans="1:14" ht="46.05" customHeight="1" x14ac:dyDescent="0.45">
      <c r="A24" s="6" t="s">
        <v>95</v>
      </c>
      <c r="B24" s="7" t="s">
        <v>145</v>
      </c>
      <c r="C24" s="6" t="s">
        <v>42</v>
      </c>
      <c r="D24" s="6" t="s">
        <v>146</v>
      </c>
      <c r="E24" s="8" t="s">
        <v>147</v>
      </c>
      <c r="F24" s="9" t="s">
        <v>45</v>
      </c>
      <c r="G24" s="10">
        <v>0</v>
      </c>
      <c r="H24" s="10">
        <v>3000</v>
      </c>
      <c r="I24" s="8" t="s">
        <v>148</v>
      </c>
      <c r="J24" s="11">
        <v>0</v>
      </c>
      <c r="K24" s="11">
        <v>3000</v>
      </c>
      <c r="L24" s="11"/>
      <c r="M24" s="12" t="str">
        <f t="shared" si="0"/>
        <v/>
      </c>
      <c r="N24" s="8" t="s">
        <v>104</v>
      </c>
    </row>
    <row r="25" spans="1:14" ht="46.05" customHeight="1" x14ac:dyDescent="0.45">
      <c r="A25" s="6" t="s">
        <v>95</v>
      </c>
      <c r="B25" s="7" t="s">
        <v>149</v>
      </c>
      <c r="C25" s="6" t="s">
        <v>42</v>
      </c>
      <c r="D25" s="6" t="s">
        <v>146</v>
      </c>
      <c r="E25" s="8" t="s">
        <v>150</v>
      </c>
      <c r="F25" s="9" t="s">
        <v>45</v>
      </c>
      <c r="G25" s="10">
        <v>0</v>
      </c>
      <c r="H25" s="10">
        <v>3000</v>
      </c>
      <c r="I25" s="8" t="s">
        <v>148</v>
      </c>
      <c r="J25" s="11">
        <v>0</v>
      </c>
      <c r="K25" s="11">
        <v>3000</v>
      </c>
      <c r="L25" s="11"/>
      <c r="M25" s="12" t="str">
        <f t="shared" si="0"/>
        <v/>
      </c>
      <c r="N25" s="8" t="s">
        <v>104</v>
      </c>
    </row>
    <row r="26" spans="1:14" ht="46.05" customHeight="1" x14ac:dyDescent="0.45">
      <c r="A26" s="6" t="s">
        <v>95</v>
      </c>
      <c r="B26" s="7" t="s">
        <v>151</v>
      </c>
      <c r="C26" s="6" t="s">
        <v>42</v>
      </c>
      <c r="D26" s="6" t="s">
        <v>152</v>
      </c>
      <c r="E26" s="8" t="s">
        <v>153</v>
      </c>
      <c r="F26" s="14" t="s">
        <v>59</v>
      </c>
      <c r="G26" s="10">
        <v>0</v>
      </c>
      <c r="H26" s="10">
        <v>6000</v>
      </c>
      <c r="I26" s="8" t="s">
        <v>154</v>
      </c>
      <c r="J26" s="11">
        <v>0</v>
      </c>
      <c r="K26" s="11">
        <v>6000</v>
      </c>
      <c r="L26" s="11"/>
      <c r="M26" s="12" t="str">
        <f t="shared" si="0"/>
        <v/>
      </c>
      <c r="N26" s="8" t="s">
        <v>155</v>
      </c>
    </row>
    <row r="27" spans="1:14" ht="46.05" customHeight="1" x14ac:dyDescent="0.45">
      <c r="A27" s="6" t="s">
        <v>95</v>
      </c>
      <c r="B27" s="7" t="s">
        <v>156</v>
      </c>
      <c r="C27" s="6" t="s">
        <v>42</v>
      </c>
      <c r="D27" s="6" t="s">
        <v>157</v>
      </c>
      <c r="E27" s="8" t="s">
        <v>158</v>
      </c>
      <c r="F27" s="14" t="s">
        <v>59</v>
      </c>
      <c r="G27" s="10">
        <v>0</v>
      </c>
      <c r="H27" s="10">
        <v>2000</v>
      </c>
      <c r="I27" s="8" t="s">
        <v>159</v>
      </c>
      <c r="J27" s="11">
        <v>0</v>
      </c>
      <c r="K27" s="11">
        <v>2000</v>
      </c>
      <c r="L27" s="11"/>
      <c r="M27" s="12" t="str">
        <f t="shared" si="0"/>
        <v/>
      </c>
      <c r="N27" s="8" t="s">
        <v>160</v>
      </c>
    </row>
    <row r="28" spans="1:14" ht="46.05" customHeight="1" x14ac:dyDescent="0.45">
      <c r="A28" s="6" t="s">
        <v>95</v>
      </c>
      <c r="B28" s="7" t="s">
        <v>161</v>
      </c>
      <c r="C28" s="6" t="s">
        <v>42</v>
      </c>
      <c r="D28" s="6" t="s">
        <v>162</v>
      </c>
      <c r="E28" s="8" t="s">
        <v>163</v>
      </c>
      <c r="F28" s="14" t="s">
        <v>59</v>
      </c>
      <c r="G28" s="10">
        <v>0</v>
      </c>
      <c r="H28" s="10">
        <v>40</v>
      </c>
      <c r="I28" s="8" t="s">
        <v>164</v>
      </c>
      <c r="J28" s="11">
        <v>0</v>
      </c>
      <c r="K28" s="11">
        <v>40</v>
      </c>
      <c r="L28" s="11"/>
      <c r="M28" s="12" t="str">
        <f t="shared" si="0"/>
        <v/>
      </c>
      <c r="N28" s="8" t="s">
        <v>160</v>
      </c>
    </row>
    <row r="29" spans="1:14" ht="46.05" customHeight="1" x14ac:dyDescent="0.45">
      <c r="A29" s="6" t="s">
        <v>95</v>
      </c>
      <c r="B29" s="7" t="s">
        <v>165</v>
      </c>
      <c r="C29" s="6" t="s">
        <v>42</v>
      </c>
      <c r="D29" s="6" t="s">
        <v>157</v>
      </c>
      <c r="E29" s="8" t="s">
        <v>166</v>
      </c>
      <c r="F29" s="14" t="s">
        <v>59</v>
      </c>
      <c r="G29" s="10">
        <v>0</v>
      </c>
      <c r="H29" s="10">
        <v>60</v>
      </c>
      <c r="I29" s="8" t="s">
        <v>167</v>
      </c>
      <c r="J29" s="11">
        <v>0</v>
      </c>
      <c r="K29" s="11">
        <v>60</v>
      </c>
      <c r="L29" s="11"/>
      <c r="M29" s="12" t="str">
        <f t="shared" si="0"/>
        <v/>
      </c>
      <c r="N29" s="8" t="s">
        <v>160</v>
      </c>
    </row>
    <row r="30" spans="1:14" ht="46.05" customHeight="1" x14ac:dyDescent="0.45">
      <c r="A30" s="6" t="s">
        <v>95</v>
      </c>
      <c r="B30" s="7" t="s">
        <v>168</v>
      </c>
      <c r="C30" s="6" t="s">
        <v>169</v>
      </c>
      <c r="D30" s="6" t="s">
        <v>170</v>
      </c>
      <c r="E30" s="8" t="s">
        <v>171</v>
      </c>
      <c r="F30" s="15" t="s">
        <v>172</v>
      </c>
      <c r="G30" s="10"/>
      <c r="H30" s="10"/>
      <c r="I30" s="8" t="s">
        <v>173</v>
      </c>
      <c r="J30" s="11"/>
      <c r="K30" s="11"/>
      <c r="L30" s="11"/>
      <c r="M30" s="12" t="str">
        <f t="shared" si="0"/>
        <v/>
      </c>
      <c r="N30" s="8" t="s">
        <v>174</v>
      </c>
    </row>
    <row r="31" spans="1:14" ht="46.05" customHeight="1" x14ac:dyDescent="0.45">
      <c r="A31" s="6" t="s">
        <v>95</v>
      </c>
      <c r="B31" s="7" t="s">
        <v>175</v>
      </c>
      <c r="C31" s="6" t="s">
        <v>72</v>
      </c>
      <c r="D31" s="6" t="s">
        <v>73</v>
      </c>
      <c r="E31" s="8" t="s">
        <v>176</v>
      </c>
      <c r="F31" s="14" t="s">
        <v>59</v>
      </c>
      <c r="G31" s="10" t="s">
        <v>177</v>
      </c>
      <c r="H31" s="10"/>
      <c r="I31" s="8" t="s">
        <v>178</v>
      </c>
      <c r="J31" s="11"/>
      <c r="K31" s="11"/>
      <c r="L31" s="11"/>
      <c r="M31" s="12" t="str">
        <f t="shared" si="0"/>
        <v/>
      </c>
      <c r="N31" s="8" t="s">
        <v>179</v>
      </c>
    </row>
  </sheetData>
  <autoFilter ref="A1:N1" xr:uid="{00000000-0009-0000-0000-000001000000}"/>
  <dataValidations count="1">
    <dataValidation type="list" allowBlank="1" error="Pick one of the listed options." prompt="Choose your decision for this row." sqref="L2:L31" xr:uid="{00000000-0002-0000-0100-000000000000}">
      <formula1>"Accept suggested,Tightened,Loosened,Needs discussion,Not needed now"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Validation 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Pp Pp</cp:lastModifiedBy>
  <dcterms:created xsi:type="dcterms:W3CDTF">2026-08-25T16:51:03Z</dcterms:created>
  <dcterms:modified xsi:type="dcterms:W3CDTF">2026-08-25T17:06:49Z</dcterms:modified>
</cp:coreProperties>
</file>